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eeth\Downloads\"/>
    </mc:Choice>
  </mc:AlternateContent>
  <xr:revisionPtr revIDLastSave="0" documentId="8_{5DA37823-B66D-43D7-AC9C-464FCF458F4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structions" sheetId="1" r:id="rId1"/>
    <sheet name="Dataset" sheetId="2" r:id="rId2"/>
    <sheet name="Solutions 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2" i="3" l="1" a="1"/>
  <c r="I2" i="3" a="1"/>
  <c r="H2" i="3" a="1"/>
  <c r="O16" i="3"/>
  <c r="O15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2" i="3"/>
  <c r="O14" i="3"/>
  <c r="O13" i="3"/>
  <c r="O12" i="3"/>
  <c r="O11" i="3"/>
  <c r="O10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<sst xmlns="http://schemas.openxmlformats.org/spreadsheetml/2006/main" count="313" uniqueCount="121">
  <si>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</si>
  <si>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</si>
  <si>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</si>
  <si>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</si>
  <si>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</si>
  <si>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</si>
  <si>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</si>
  <si>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</si>
  <si>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</si>
  <si>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</si>
  <si>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</si>
  <si>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</si>
  <si>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</si>
  <si>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</si>
  <si>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</si>
  <si>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</si>
  <si>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</si>
  <si>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</si>
  <si>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</si>
  <si>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</si>
  <si>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</si>
  <si>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</si>
  <si>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</si>
  <si>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</si>
  <si>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</si>
  <si>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</si>
  <si>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</si>
  <si>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</si>
  <si>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</si>
  <si>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</si>
  <si>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</si>
  <si>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</si>
  <si>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</si>
  <si>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</si>
  <si>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</si>
  <si>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</si>
  <si>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</si>
  <si>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</si>
  <si>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</si>
  <si>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</si>
  <si>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</si>
  <si>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</si>
  <si>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</si>
  <si>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</si>
  <si>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</si>
  <si>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</si>
  <si>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</si>
  <si>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</si>
  <si>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</si>
  <si>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</si>
  <si>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</si>
  <si>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</si>
  <si>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</si>
  <si>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</si>
  <si>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</si>
  <si>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</si>
  <si>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</si>
  <si>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</si>
  <si>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</si>
  <si>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</si>
  <si>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</si>
  <si>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</si>
  <si>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</si>
  <si>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</si>
  <si>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</si>
  <si>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</si>
  <si>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</si>
  <si>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</si>
  <si>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</si>
  <si>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</si>
  <si>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</si>
  <si>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</si>
  <si>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</si>
  <si>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</si>
  <si>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</si>
  <si>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</si>
  <si>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</si>
  <si>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</si>
  <si>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</si>
  <si>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</si>
  <si>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</si>
  <si>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</si>
  <si>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</si>
  <si>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</si>
  <si>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</si>
  <si>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</si>
  <si>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</si>
  <si>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</si>
  <si>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</si>
  <si>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</si>
  <si>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</si>
  <si>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</si>
  <si>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</si>
  <si>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</si>
  <si>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</si>
  <si>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</si>
  <si>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</si>
  <si>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</si>
  <si>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</si>
  <si>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</si>
  <si>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</si>
  <si>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</si>
  <si>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</si>
  <si>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</si>
  <si>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</si>
  <si>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</si>
  <si>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</si>
  <si>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</si>
  <si>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</si>
  <si>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</si>
  <si>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</t>
  </si>
  <si>
    <t>COUNT</t>
  </si>
  <si>
    <t>AVERAGE</t>
  </si>
  <si>
    <t>MINIMUM PRICE</t>
  </si>
  <si>
    <t>MAXIMUM PRICE</t>
  </si>
  <si>
    <t xml:space="preserve">Price range </t>
  </si>
  <si>
    <t>PRICE OF THE PRODUCTS IN ELECTRONICS CATEGORY</t>
  </si>
  <si>
    <t>PRODUCT WITH PRICE &lt;100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</si>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</sst>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0" fontId="8" fillId="0" borderId="0" xfId="0" applyFont="1" applyAlignment="1">
      <alignment horizontal="center"/>
    </xf>
    <xf numFmtId="0" fontId="10" fillId="2" borderId="0" xfId="0" applyFont="1" applyFill="1" applyAlignment="1">
      <alignment horizont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9" fillId="0" borderId="0" xfId="0" applyFont="1" applyAlignment="1"/>
    <xf numFmtId="0" fontId="9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E20" sqref="E20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opLeftCell="A4" workbookViewId="0">
      <selection activeCell="I17" sqref="I17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  <col min="7" max="7" width="17.140625" customWidth="1"/>
  </cols>
  <sheetData>
    <row r="1" spans="1:10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22</v>
      </c>
    </row>
    <row r="2" spans="1:10" ht="15.75" customHeight="1" x14ac:dyDescent="0.2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6"/>
    </row>
    <row r="3" spans="1:10" ht="15.75" customHeight="1" x14ac:dyDescent="0.2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  <c r="G3" s="7"/>
    </row>
    <row r="4" spans="1:10" ht="15.75" customHeight="1" x14ac:dyDescent="0.2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6"/>
      <c r="I4" s="9"/>
      <c r="J4" s="11"/>
    </row>
    <row r="5" spans="1:10" ht="15.75" customHeight="1" x14ac:dyDescent="0.2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  <c r="G5" s="7"/>
      <c r="I5" s="9"/>
      <c r="J5" s="11"/>
    </row>
    <row r="6" spans="1:10" ht="15.75" customHeight="1" x14ac:dyDescent="0.2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6"/>
      <c r="J6" s="10"/>
    </row>
    <row r="7" spans="1:10" ht="15.75" customHeight="1" x14ac:dyDescent="0.2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  <c r="G7" s="7"/>
      <c r="J7" s="8"/>
    </row>
    <row r="8" spans="1:10" ht="15.75" customHeight="1" x14ac:dyDescent="0.2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6"/>
      <c r="I8" s="10"/>
      <c r="J8" s="8"/>
    </row>
    <row r="9" spans="1:10" ht="15.75" customHeight="1" x14ac:dyDescent="0.2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  <c r="G9" s="7"/>
    </row>
    <row r="10" spans="1:10" ht="15.75" customHeight="1" x14ac:dyDescent="0.2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6"/>
    </row>
    <row r="11" spans="1:10" ht="15.75" customHeight="1" x14ac:dyDescent="0.2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s="7"/>
    </row>
    <row r="12" spans="1:10" ht="15.75" customHeight="1" x14ac:dyDescent="0.2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6"/>
    </row>
    <row r="13" spans="1:10" ht="15.75" customHeight="1" x14ac:dyDescent="0.2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  <c r="G13" s="7"/>
    </row>
    <row r="14" spans="1:10" ht="15.75" customHeight="1" x14ac:dyDescent="0.2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6"/>
    </row>
    <row r="15" spans="1:10" ht="15.75" customHeight="1" x14ac:dyDescent="0.2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s="7"/>
    </row>
    <row r="16" spans="1:10" ht="15.75" customHeight="1" x14ac:dyDescent="0.2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6"/>
    </row>
    <row r="17" spans="1:7" ht="15.75" customHeight="1" x14ac:dyDescent="0.2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  <c r="G17" s="7"/>
    </row>
    <row r="18" spans="1:7" ht="15.75" customHeight="1" x14ac:dyDescent="0.2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6"/>
    </row>
    <row r="19" spans="1:7" ht="15.75" customHeight="1" x14ac:dyDescent="0.2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s="7"/>
    </row>
    <row r="20" spans="1:7" ht="15.75" customHeight="1" x14ac:dyDescent="0.2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6"/>
    </row>
    <row r="21" spans="1:7" ht="15.75" customHeight="1" x14ac:dyDescent="0.2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s="7"/>
    </row>
    <row r="22" spans="1:7" ht="15.75" customHeight="1" x14ac:dyDescent="0.2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6"/>
    </row>
    <row r="23" spans="1:7" ht="15.75" customHeight="1" x14ac:dyDescent="0.2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  <c r="G23" s="7"/>
    </row>
    <row r="24" spans="1:7" ht="15.75" customHeight="1" x14ac:dyDescent="0.2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6"/>
    </row>
    <row r="25" spans="1:7" ht="15.75" customHeight="1" x14ac:dyDescent="0.2">
      <c r="A25" s="7" t="s">
        <v>67</v>
      </c>
      <c r="B25" s="7" t="s">
        <v>68</v>
      </c>
      <c r="C25" s="7" t="s">
        <v>69</v>
      </c>
      <c r="D25" s="7">
        <v>50</v>
      </c>
      <c r="E25" s="7">
        <v>35</v>
      </c>
      <c r="F25" s="7" t="s">
        <v>70</v>
      </c>
      <c r="G25" s="7"/>
    </row>
    <row r="26" spans="1:7" ht="15.75" customHeight="1" x14ac:dyDescent="0.2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6"/>
    </row>
    <row r="27" spans="1:7" ht="15.75" customHeight="1" x14ac:dyDescent="0.2">
      <c r="A27" s="7" t="s">
        <v>92</v>
      </c>
      <c r="B27" s="7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s="7"/>
    </row>
    <row r="28" spans="1:7" ht="15.75" customHeight="1" x14ac:dyDescent="0.2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6"/>
    </row>
    <row r="29" spans="1:7" ht="15.75" customHeight="1" x14ac:dyDescent="0.2">
      <c r="A29" s="7" t="s">
        <v>65</v>
      </c>
      <c r="B29" s="7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s="7"/>
    </row>
    <row r="30" spans="1:7" ht="15.75" customHeight="1" x14ac:dyDescent="0.2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6"/>
    </row>
    <row r="31" spans="1:7" ht="15.75" customHeight="1" x14ac:dyDescent="0.2">
      <c r="A31" s="7" t="s">
        <v>99</v>
      </c>
      <c r="B31" s="7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s="7"/>
    </row>
    <row r="32" spans="1:7" ht="15.75" customHeight="1" x14ac:dyDescent="0.2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6"/>
    </row>
    <row r="33" spans="1:7" ht="15.75" customHeight="1" x14ac:dyDescent="0.2">
      <c r="A33" s="7" t="s">
        <v>104</v>
      </c>
      <c r="B33" s="7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s="7"/>
    </row>
    <row r="34" spans="1:7" ht="15.75" customHeight="1" x14ac:dyDescent="0.2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6"/>
    </row>
    <row r="35" spans="1:7" ht="15.75" customHeight="1" x14ac:dyDescent="0.2">
      <c r="A35" s="7" t="s">
        <v>107</v>
      </c>
      <c r="B35" s="7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s="7"/>
    </row>
    <row r="36" spans="1:7" ht="15.75" customHeight="1" x14ac:dyDescent="0.2"/>
    <row r="37" spans="1:7" ht="15.75" customHeight="1" x14ac:dyDescent="0.2"/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0E8CD-9CD5-4D02-B2A6-032F9B898B85}">
  <dimension ref="A1:O35"/>
  <sheetViews>
    <sheetView tabSelected="1" workbookViewId="0">
      <selection activeCell="F13" sqref="F13"/>
    </sheetView>
  </sheetViews>
  <sheetFormatPr defaultColWidth="11.42578125" defaultRowHeight="12.75" x14ac:dyDescent="0.2"/>
  <cols>
    <col min="7" max="7" width="15.28515625" customWidth="1"/>
    <col min="9" max="9" width="19.42578125" customWidth="1"/>
    <col min="10" max="10" width="15.7109375" customWidth="1"/>
    <col min="12" max="12" width="11.42578125" customWidth="1"/>
    <col min="13" max="13" width="10.7109375" customWidth="1"/>
    <col min="14" max="14" width="56" customWidth="1"/>
    <col min="15" max="15" width="17.85546875" customWidth="1"/>
  </cols>
  <sheetData>
    <row r="1" spans="1:15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2" t="s">
        <v>115</v>
      </c>
      <c r="H1" s="12" t="s">
        <v>118</v>
      </c>
      <c r="I1" s="12" t="s">
        <v>119</v>
      </c>
      <c r="J1" s="12" t="s">
        <v>120</v>
      </c>
    </row>
    <row r="2" spans="1:15" x14ac:dyDescent="0.2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13" t="str">
        <f>IF(D2&gt;=500, "High Price","Standard Price")</f>
        <v>High Price</v>
      </c>
      <c r="H2" s="14" t="str" cm="1">
        <f t="array" ref="H2:H35">LEFT(A2:A35, 2)</f>
        <v>28</v>
      </c>
      <c r="I2" s="16" t="str" cm="1">
        <f t="array" ref="I2:I35">RIGHT(A2:A35, 2)</f>
        <v>US</v>
      </c>
      <c r="J2" s="15" t="str" cm="1">
        <f t="array" ref="J2:J35">MID(A2:A35, 4, 3)</f>
        <v>JAN</v>
      </c>
    </row>
    <row r="3" spans="1:15" x14ac:dyDescent="0.2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  <c r="G3" s="13" t="str">
        <f t="shared" ref="G3:G35" si="0">IF(D3&gt;=500, "High Price","Standard Price")</f>
        <v>Standard Price</v>
      </c>
      <c r="H3" s="14" t="str">
        <v>15</v>
      </c>
      <c r="I3" s="16" t="str">
        <v>US</v>
      </c>
      <c r="J3" s="15" t="str">
        <v>FEB</v>
      </c>
    </row>
    <row r="4" spans="1:15" x14ac:dyDescent="0.2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13" t="str">
        <f t="shared" si="0"/>
        <v>Standard Price</v>
      </c>
      <c r="H4" s="14" t="str">
        <v>03</v>
      </c>
      <c r="I4" s="16" t="str">
        <v>US</v>
      </c>
      <c r="J4" s="15" t="str">
        <v>MAR</v>
      </c>
    </row>
    <row r="5" spans="1:15" x14ac:dyDescent="0.2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  <c r="G5" s="13" t="str">
        <f t="shared" si="0"/>
        <v>High Price</v>
      </c>
      <c r="H5" s="14" t="str">
        <v>11</v>
      </c>
      <c r="I5" s="16" t="str">
        <v>US</v>
      </c>
      <c r="J5" s="15" t="str">
        <v>APR</v>
      </c>
    </row>
    <row r="6" spans="1:15" x14ac:dyDescent="0.2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13" t="str">
        <f t="shared" si="0"/>
        <v>Standard Price</v>
      </c>
      <c r="H6" s="14" t="str">
        <v>22</v>
      </c>
      <c r="I6" s="16" t="str">
        <v>US</v>
      </c>
      <c r="J6" s="15" t="str">
        <v>MAY</v>
      </c>
    </row>
    <row r="7" spans="1:15" x14ac:dyDescent="0.2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  <c r="G7" s="13" t="str">
        <f t="shared" si="0"/>
        <v>Standard Price</v>
      </c>
      <c r="H7" s="14" t="str">
        <v>07</v>
      </c>
      <c r="I7" s="14" t="str">
        <v>UK</v>
      </c>
      <c r="J7" s="15" t="str">
        <v>JUN</v>
      </c>
    </row>
    <row r="8" spans="1:15" x14ac:dyDescent="0.2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13" t="str">
        <f t="shared" si="0"/>
        <v>Standard Price</v>
      </c>
      <c r="H8" s="14" t="str">
        <v>19</v>
      </c>
      <c r="I8" s="14" t="str">
        <v>UK</v>
      </c>
      <c r="J8" s="15" t="str">
        <v>JUL</v>
      </c>
    </row>
    <row r="9" spans="1:15" x14ac:dyDescent="0.2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  <c r="G9" s="13" t="str">
        <f t="shared" si="0"/>
        <v>Standard Price</v>
      </c>
      <c r="H9" s="14" t="str">
        <v>23</v>
      </c>
      <c r="I9" s="14" t="str">
        <v>UK</v>
      </c>
      <c r="J9" s="15" t="str">
        <v>AUG</v>
      </c>
    </row>
    <row r="10" spans="1:15" x14ac:dyDescent="0.2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13" t="str">
        <f t="shared" si="0"/>
        <v>High Price</v>
      </c>
      <c r="H10" s="14" t="str">
        <v>05</v>
      </c>
      <c r="I10" s="14" t="str">
        <v>UK</v>
      </c>
      <c r="J10" s="15" t="str">
        <v>SEP</v>
      </c>
      <c r="N10" s="11" t="s">
        <v>110</v>
      </c>
      <c r="O10" s="11">
        <f>SUM(D2:D35)</f>
        <v>10100</v>
      </c>
    </row>
    <row r="11" spans="1:15" x14ac:dyDescent="0.2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s="13" t="str">
        <f t="shared" si="0"/>
        <v>Standard Price</v>
      </c>
      <c r="H11" s="14" t="str">
        <v>14</v>
      </c>
      <c r="I11" s="14" t="str">
        <v>UK</v>
      </c>
      <c r="J11" s="15" t="str">
        <v>OCT</v>
      </c>
      <c r="N11" s="11" t="s">
        <v>111</v>
      </c>
      <c r="O11" s="11">
        <f>COUNTA(B2:B35)</f>
        <v>34</v>
      </c>
    </row>
    <row r="12" spans="1:15" x14ac:dyDescent="0.2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13" t="str">
        <f t="shared" si="0"/>
        <v>High Price</v>
      </c>
      <c r="H12" s="14" t="str">
        <v>17</v>
      </c>
      <c r="I12" s="14" t="str">
        <v>IN</v>
      </c>
      <c r="J12" s="15" t="str">
        <v>JUN</v>
      </c>
      <c r="N12" s="11" t="s">
        <v>112</v>
      </c>
      <c r="O12" s="11">
        <f>AVERAGE(D2:D35)</f>
        <v>297.05882352941177</v>
      </c>
    </row>
    <row r="13" spans="1:15" x14ac:dyDescent="0.2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  <c r="G13" s="13" t="str">
        <f t="shared" si="0"/>
        <v>Standard Price</v>
      </c>
      <c r="H13" s="14" t="str">
        <v>25</v>
      </c>
      <c r="I13" s="14" t="str">
        <v>AU</v>
      </c>
      <c r="J13" s="15" t="str">
        <v>NOV</v>
      </c>
      <c r="N13" s="11" t="s">
        <v>113</v>
      </c>
      <c r="O13" s="11">
        <f>MIN(Dataset!D2:D35)</f>
        <v>30</v>
      </c>
    </row>
    <row r="14" spans="1:15" x14ac:dyDescent="0.2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13" t="str">
        <f t="shared" si="0"/>
        <v>Standard Price</v>
      </c>
      <c r="H14" s="14" t="str">
        <v>08</v>
      </c>
      <c r="I14" s="14" t="str">
        <v>DE</v>
      </c>
      <c r="J14" s="15" t="str">
        <v>DEC</v>
      </c>
      <c r="N14" s="11" t="s">
        <v>114</v>
      </c>
      <c r="O14" s="11">
        <f>MAX(D2:D35)</f>
        <v>1000</v>
      </c>
    </row>
    <row r="15" spans="1:15" x14ac:dyDescent="0.2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s="13" t="str">
        <f t="shared" si="0"/>
        <v>Standard Price</v>
      </c>
      <c r="H15" s="14" t="str">
        <v>18</v>
      </c>
      <c r="I15" s="14" t="str">
        <v>CA</v>
      </c>
      <c r="J15" s="15" t="str">
        <v>FEB</v>
      </c>
      <c r="N15" s="11" t="s">
        <v>116</v>
      </c>
      <c r="O15" s="11">
        <f>SUMIF(F2:F35,"Electronics",D2:D35)</f>
        <v>8050</v>
      </c>
    </row>
    <row r="16" spans="1:15" x14ac:dyDescent="0.2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13" t="str">
        <f t="shared" si="0"/>
        <v>Standard Price</v>
      </c>
      <c r="H16" s="14" t="str">
        <v>16</v>
      </c>
      <c r="I16" s="14" t="str">
        <v>ES</v>
      </c>
      <c r="J16" s="15" t="str">
        <v>APR</v>
      </c>
      <c r="N16" s="11" t="s">
        <v>117</v>
      </c>
      <c r="O16" s="11">
        <f>COUNTIF(D2:D35,"&lt;100")</f>
        <v>11</v>
      </c>
    </row>
    <row r="17" spans="1:10" x14ac:dyDescent="0.2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  <c r="G17" s="13" t="str">
        <f t="shared" si="0"/>
        <v>Standard Price</v>
      </c>
      <c r="H17" s="14" t="str">
        <v>21</v>
      </c>
      <c r="I17" s="14" t="str">
        <v>CA</v>
      </c>
      <c r="J17" s="15" t="str">
        <v>AUG</v>
      </c>
    </row>
    <row r="18" spans="1:10" x14ac:dyDescent="0.2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13" t="str">
        <f t="shared" si="0"/>
        <v>Standard Price</v>
      </c>
      <c r="H18" s="14" t="str">
        <v>20</v>
      </c>
      <c r="I18" s="14" t="str">
        <v>CN</v>
      </c>
      <c r="J18" s="15" t="str">
        <v>AUG</v>
      </c>
    </row>
    <row r="19" spans="1:10" x14ac:dyDescent="0.2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s="13" t="str">
        <f t="shared" si="0"/>
        <v>High Price</v>
      </c>
      <c r="H19" s="14" t="str">
        <v>27</v>
      </c>
      <c r="I19" s="14" t="str">
        <v>IT</v>
      </c>
      <c r="J19" s="15" t="str">
        <v>JAN</v>
      </c>
    </row>
    <row r="20" spans="1:10" x14ac:dyDescent="0.2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13" t="str">
        <f t="shared" si="0"/>
        <v>Standard Price</v>
      </c>
      <c r="H20" s="14" t="str">
        <v>01</v>
      </c>
      <c r="I20" s="14" t="str">
        <v>UK</v>
      </c>
      <c r="J20" s="15" t="str">
        <v>MAR</v>
      </c>
    </row>
    <row r="21" spans="1:10" x14ac:dyDescent="0.2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s="13" t="str">
        <f t="shared" si="0"/>
        <v>Standard Price</v>
      </c>
      <c r="H21" s="14" t="str">
        <v>14</v>
      </c>
      <c r="I21" s="14" t="str">
        <v>US</v>
      </c>
      <c r="J21" s="15" t="str">
        <v>AUG</v>
      </c>
    </row>
    <row r="22" spans="1:10" x14ac:dyDescent="0.2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13" t="str">
        <f t="shared" si="0"/>
        <v>High Price</v>
      </c>
      <c r="H22" s="14" t="str">
        <v>14</v>
      </c>
      <c r="I22" s="14" t="str">
        <v>RU</v>
      </c>
      <c r="J22" s="15" t="str">
        <v>MAY</v>
      </c>
    </row>
    <row r="23" spans="1:10" x14ac:dyDescent="0.2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  <c r="G23" s="13" t="str">
        <f t="shared" si="0"/>
        <v>Standard Price</v>
      </c>
      <c r="H23" s="14" t="str">
        <v>09</v>
      </c>
      <c r="I23" s="14" t="str">
        <v>CA</v>
      </c>
      <c r="J23" s="15" t="str">
        <v>JAN</v>
      </c>
    </row>
    <row r="24" spans="1:10" x14ac:dyDescent="0.2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13" t="str">
        <f t="shared" si="0"/>
        <v>Standard Price</v>
      </c>
      <c r="H24" s="14" t="str">
        <v>19</v>
      </c>
      <c r="I24" s="14" t="str">
        <v>BR</v>
      </c>
      <c r="J24" s="15" t="str">
        <v>JUL</v>
      </c>
    </row>
    <row r="25" spans="1:10" x14ac:dyDescent="0.2">
      <c r="A25" s="7" t="s">
        <v>67</v>
      </c>
      <c r="B25" s="7" t="s">
        <v>68</v>
      </c>
      <c r="C25" s="7" t="s">
        <v>69</v>
      </c>
      <c r="D25" s="7">
        <v>50</v>
      </c>
      <c r="E25" s="7">
        <v>35</v>
      </c>
      <c r="F25" s="7" t="s">
        <v>70</v>
      </c>
      <c r="G25" s="13" t="str">
        <f t="shared" si="0"/>
        <v>Standard Price</v>
      </c>
      <c r="H25" s="14" t="str">
        <v>21</v>
      </c>
      <c r="I25" s="14" t="str">
        <v>CA</v>
      </c>
      <c r="J25" s="15" t="str">
        <v>AUG</v>
      </c>
    </row>
    <row r="26" spans="1:10" x14ac:dyDescent="0.2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13" t="str">
        <f t="shared" si="0"/>
        <v>High Price</v>
      </c>
      <c r="H26" s="14" t="str">
        <v>29</v>
      </c>
      <c r="I26" s="14" t="str">
        <v>CA</v>
      </c>
      <c r="J26" s="15" t="str">
        <v>SEP</v>
      </c>
    </row>
    <row r="27" spans="1:10" x14ac:dyDescent="0.2">
      <c r="A27" s="7" t="s">
        <v>92</v>
      </c>
      <c r="B27" s="7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s="13" t="str">
        <f t="shared" si="0"/>
        <v>Standard Price</v>
      </c>
      <c r="H27" s="14" t="str">
        <v>03</v>
      </c>
      <c r="I27" s="14" t="str">
        <v>CA</v>
      </c>
      <c r="J27" s="15" t="str">
        <v>JUN</v>
      </c>
    </row>
    <row r="28" spans="1:10" x14ac:dyDescent="0.2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13" t="str">
        <f t="shared" si="0"/>
        <v>Standard Price</v>
      </c>
      <c r="H28" s="14" t="str">
        <v>11</v>
      </c>
      <c r="I28" s="14" t="str">
        <v>CA</v>
      </c>
      <c r="J28" s="15" t="str">
        <v>JUL</v>
      </c>
    </row>
    <row r="29" spans="1:10" x14ac:dyDescent="0.2">
      <c r="A29" s="7" t="s">
        <v>65</v>
      </c>
      <c r="B29" s="7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s="13" t="str">
        <f t="shared" si="0"/>
        <v>Standard Price</v>
      </c>
      <c r="H29" s="14" t="str">
        <v>16</v>
      </c>
      <c r="I29" s="14" t="str">
        <v>ES</v>
      </c>
      <c r="J29" s="15" t="str">
        <v>APR</v>
      </c>
    </row>
    <row r="30" spans="1:10" x14ac:dyDescent="0.2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13" t="str">
        <f t="shared" si="0"/>
        <v>Standard Price</v>
      </c>
      <c r="H30" s="14" t="str">
        <v>07</v>
      </c>
      <c r="I30" s="14" t="str">
        <v>CA</v>
      </c>
      <c r="J30" s="15" t="str">
        <v>MAR</v>
      </c>
    </row>
    <row r="31" spans="1:10" x14ac:dyDescent="0.2">
      <c r="A31" s="7" t="s">
        <v>99</v>
      </c>
      <c r="B31" s="7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s="13" t="str">
        <f t="shared" si="0"/>
        <v>Standard Price</v>
      </c>
      <c r="H31" s="14" t="str">
        <v>13</v>
      </c>
      <c r="I31" s="14" t="str">
        <v>CA</v>
      </c>
      <c r="J31" s="15" t="str">
        <v>APR</v>
      </c>
    </row>
    <row r="32" spans="1:10" x14ac:dyDescent="0.2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13" t="str">
        <f t="shared" si="0"/>
        <v>Standard Price</v>
      </c>
      <c r="H32" s="14" t="str">
        <v>24</v>
      </c>
      <c r="I32" s="14" t="str">
        <v>CA</v>
      </c>
      <c r="J32" s="15" t="str">
        <v>MAY</v>
      </c>
    </row>
    <row r="33" spans="1:10" x14ac:dyDescent="0.2">
      <c r="A33" s="7" t="s">
        <v>104</v>
      </c>
      <c r="B33" s="7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s="13" t="str">
        <f t="shared" si="0"/>
        <v>Standard Price</v>
      </c>
      <c r="H33" s="14" t="str">
        <v>02</v>
      </c>
      <c r="I33" s="14" t="str">
        <v>CA</v>
      </c>
      <c r="J33" s="15" t="str">
        <v>DEC</v>
      </c>
    </row>
    <row r="34" spans="1:10" x14ac:dyDescent="0.2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13" t="str">
        <f t="shared" si="0"/>
        <v>High Price</v>
      </c>
      <c r="H34" s="14" t="str">
        <v>17</v>
      </c>
      <c r="I34" s="14" t="str">
        <v>IN</v>
      </c>
      <c r="J34" s="15" t="str">
        <v>JUN</v>
      </c>
    </row>
    <row r="35" spans="1:10" x14ac:dyDescent="0.2">
      <c r="A35" s="7" t="s">
        <v>107</v>
      </c>
      <c r="B35" s="7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s="13" t="str">
        <f t="shared" si="0"/>
        <v>Standard Price</v>
      </c>
      <c r="H35" s="14" t="str">
        <v>09</v>
      </c>
      <c r="I35" s="14" t="str">
        <v>FR</v>
      </c>
      <c r="J35" s="15" t="str">
        <v>JUL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Solutions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Neethu Praveen</dc:creator>
  <cp:lastModifiedBy>Neethu Praveen</cp:lastModifiedBy>
  <dcterms:created xsi:type="dcterms:W3CDTF">2026-09-15T18:43:59Z</dcterms:created>
  <dcterms:modified xsi:type="dcterms:W3CDTF">2026-09-15T18:50:43Z</dcterms:modified>
</cp:coreProperties>
</file>